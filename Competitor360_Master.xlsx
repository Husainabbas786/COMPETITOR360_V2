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2C – Pricing" sheetId="2" state="visible" r:id="rId2"/>
    <sheet xmlns:r="http://schemas.openxmlformats.org/officeDocument/2006/relationships" name="B2B – Commission" sheetId="3" state="visible" r:id="rId3"/>
    <sheet xmlns:r="http://schemas.openxmlformats.org/officeDocument/2006/relationships" name="Multi-year &amp; Year-2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Assumptions &amp; G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0F8B8D"/>
      <sz val="16"/>
    </font>
    <font>
      <name val="Arial"/>
      <i val="1"/>
      <color rgb="00595959"/>
      <sz val="9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1A1A1A"/>
      <sz val="11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b val="1"/>
      <color rgb="00808080"/>
      <sz val="10"/>
    </font>
    <font>
      <name val="Arial"/>
      <b val="1"/>
      <color rgb="00BFBFBF"/>
      <sz val="10"/>
    </font>
    <font>
      <name val="Arial"/>
      <b val="1"/>
      <color rgb="001F4E79"/>
      <sz val="10"/>
    </font>
    <font>
      <name val="Arial"/>
      <i val="1"/>
      <color rgb="000F8B8D"/>
      <sz val="10"/>
    </font>
    <font>
      <name val="Arial"/>
      <b val="1"/>
      <color rgb="00FFFFFF"/>
      <sz val="10"/>
    </font>
    <font>
      <name val="Arial"/>
      <color rgb="00006100"/>
      <sz val="10"/>
    </font>
    <font>
      <name val="Arial"/>
      <color rgb="009C6500"/>
      <sz val="10"/>
    </font>
    <font>
      <name val="Arial"/>
      <color rgb="00808080"/>
      <sz val="10"/>
    </font>
    <font>
      <name val="Arial"/>
      <color rgb="00BFBFBF"/>
      <sz val="10"/>
    </font>
    <font>
      <name val="Arial"/>
      <b val="1"/>
      <color rgb="001A1A1A"/>
      <sz val="9"/>
    </font>
    <font>
      <name val="Arial"/>
      <b val="1"/>
      <color rgb="000F8B8D"/>
      <sz val="12"/>
    </font>
    <font>
      <name val="Arial"/>
      <b val="1"/>
      <color rgb="00843C0C"/>
      <sz val="10"/>
    </font>
    <font>
      <name val="Arial"/>
      <i val="1"/>
      <color rgb="000F8B8D"/>
      <sz val="9"/>
    </font>
    <font>
      <name val="Arial"/>
      <b val="1"/>
      <color rgb="000F8B8D"/>
      <sz val="11"/>
    </font>
    <font>
      <name val="Arial"/>
      <b val="1"/>
      <color rgb="00C00000"/>
      <sz val="10"/>
    </font>
    <font>
      <name val="Arial"/>
      <i val="1"/>
      <color rgb="00595959"/>
      <sz val="10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404040"/>
      </patternFill>
    </fill>
    <fill>
      <patternFill patternType="solid">
        <fgColor rgb="000F8B8D"/>
      </patternFill>
    </fill>
    <fill>
      <patternFill patternType="solid">
        <fgColor rgb="00595959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2" borderId="1" pivotButton="0" quotePrefix="0" xfId="0"/>
    <xf numFmtId="0" fontId="6" fillId="0" borderId="0" pivotButton="0" quotePrefix="0" xfId="0"/>
    <xf numFmtId="0" fontId="4" fillId="3" borderId="1" pivotButton="0" quotePrefix="0" xfId="0"/>
    <xf numFmtId="0" fontId="7" fillId="0" borderId="0" pivotButton="0" quotePrefix="0" xfId="0"/>
    <xf numFmtId="0" fontId="4" fillId="4" borderId="1" pivotButton="0" quotePrefix="0" xfId="0"/>
    <xf numFmtId="0" fontId="8" fillId="0" borderId="0" pivotButton="0" quotePrefix="0" xfId="0"/>
    <xf numFmtId="0" fontId="4" fillId="5" borderId="1" pivotButton="0" quotePrefix="0" xfId="0"/>
    <xf numFmtId="0" fontId="9" fillId="0" borderId="0" pivotButton="0" quotePrefix="0" xfId="0"/>
    <xf numFmtId="0" fontId="4" fillId="6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3" fontId="13" fillId="2" borderId="1" applyAlignment="1" pivotButton="0" quotePrefix="0" xfId="0">
      <alignment horizontal="right" vertical="center"/>
    </xf>
    <xf numFmtId="3" fontId="14" fillId="3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3" fontId="15" fillId="4" borderId="1" applyAlignment="1" pivotButton="0" quotePrefix="0" xfId="0">
      <alignment horizontal="right" vertical="center"/>
    </xf>
    <xf numFmtId="0" fontId="16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right" vertical="center"/>
    </xf>
    <xf numFmtId="0" fontId="17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9" fontId="13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9" fontId="19" fillId="10" borderId="1" applyAlignment="1" pivotButton="0" quotePrefix="0" xfId="0">
      <alignment horizontal="center" vertical="center" wrapText="1"/>
    </xf>
    <xf numFmtId="9" fontId="14" fillId="3" borderId="1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Competitor360</author>
  </authors>
  <commentList>
    <comment ref="C5" authorId="0" shapeId="0">
      <text>
        <t>Contact says 11,900 — confirm IFZA 11,900 vs 12,900</t>
      </text>
    </comment>
    <comment ref="E7" authorId="0" shapeId="0">
      <text>
        <t>included via lease</t>
      </text>
    </comment>
    <comment ref="F7" authorId="0" shapeId="0">
      <text>
        <t>desk cost unknown — confirm DWTC desk</t>
      </text>
    </comment>
    <comment ref="C9" authorId="0" shapeId="0">
      <text>
        <t>licence-tier step</t>
      </text>
    </comment>
    <comment ref="F9" authorId="0" shapeId="0">
      <text>
        <t>tier step</t>
      </text>
    </comment>
    <comment ref="C10" authorId="0" shapeId="0">
      <text>
        <t>Visa FREE-for-life (0) + 1,000 title deed</t>
      </text>
    </comment>
    <comment ref="C11" authorId="0" shapeId="0">
      <text>
        <t>~700 estimate</t>
      </text>
    </comment>
    <comment ref="D11" authorId="0" shapeId="0">
      <text>
        <t>+40 allocation fee</t>
      </text>
    </comment>
    <comment ref="F11" authorId="0" shapeId="0">
      <text>
        <t>DWTC medical cost unknown</t>
      </text>
    </comment>
    <comment ref="C12" authorId="0" shapeId="0">
      <text>
        <t>~400 estimate</t>
      </text>
    </comment>
    <comment ref="D12" authorId="0" shapeId="0">
      <text>
        <t>+30 delivery fee</t>
      </text>
    </comment>
    <comment ref="F12" authorId="0" shapeId="0">
      <text>
        <t>DWTC Emirates ID cost unknown</t>
      </text>
    </comment>
    <comment ref="F13" authorId="0" shapeId="0">
      <text>
        <t>assumed 0 — confirm DWTC status change</t>
      </text>
    </comment>
    <comment ref="D14" authorId="0" shapeId="0">
      <text>
        <t>RAKEZ bundles all visa components into this increment</t>
      </text>
    </comment>
    <comment ref="E14" authorId="0" shapeId="0">
      <text>
        <t>Ajman bundles all visa components into this increment</t>
      </text>
    </comment>
  </commentList>
</comments>
</file>

<file path=xl/comments/comment2.xml><?xml version="1.0" encoding="utf-8"?>
<comments xmlns="http://schemas.openxmlformats.org/spreadsheetml/2006/main">
  <authors>
    <author>Competitor360</author>
  </authors>
  <commentList>
    <comment ref="B8" authorId="0" shapeId="0">
      <text>
        <t>renewal rate</t>
      </text>
    </comment>
    <comment ref="C8" authorId="0" shapeId="0">
      <text>
        <t>Plan B has no renewal</t>
      </text>
    </comment>
    <comment ref="D8" authorId="0" shapeId="0">
      <text>
        <t>RAKEZ renewal unknown</t>
      </text>
    </comment>
    <comment ref="E8" authorId="0" shapeId="0">
      <text>
        <t>flat</t>
      </text>
    </comment>
    <comment ref="F8" authorId="0" shapeId="0">
      <text>
        <t>DWTC renewal unknown</t>
      </text>
    </comment>
    <comment ref="E21" authorId="0" shapeId="0">
      <text>
        <t>not disclosed</t>
      </text>
    </comment>
    <comment ref="E27" authorId="0" shapeId="0">
      <text>
        <t>not disclosed</t>
      </text>
    </comment>
  </commentList>
</comments>
</file>

<file path=xl/comments/comment3.xml><?xml version="1.0" encoding="utf-8"?>
<comments xmlns="http://schemas.openxmlformats.org/spreadsheetml/2006/main">
  <authors>
    <author>Competitor360</author>
  </authors>
  <commentList>
    <comment ref="F6" authorId="0" shapeId="0">
      <text>
        <t>DWTC multi-year unknown</t>
      </text>
    </comment>
    <comment ref="B14" authorId="0" shapeId="0">
      <text>
        <t>~14,700 — assumes visa NOT re-charged in Year 2</t>
      </text>
    </comment>
    <comment ref="C14" authorId="0" shapeId="0">
      <text>
        <t>~17,100</t>
      </text>
    </comment>
    <comment ref="F14" authorId="0" shapeId="0">
      <text>
        <t>DWTC Year-2 unknown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90" customWidth="1" min="3" max="3"/>
  </cols>
  <sheetData>
    <row r="1">
      <c r="A1" s="1" t="inlineStr">
        <is>
          <t>Competitor 360 — Master Data</t>
        </is>
      </c>
    </row>
    <row r="2">
      <c r="A2" s="2" t="inlineStr">
        <is>
          <t>Free-zone pricing (B2C) &amp; commission (B2B) benchmark · Meydan = baseline vs IFZA, RAKEZ, Ajman, DWTC</t>
        </is>
      </c>
    </row>
    <row r="4">
      <c r="A4" s="3" t="inlineStr">
        <is>
          <t>This workbook is the SINGLE SOURCE OF TRUTH.</t>
        </is>
      </c>
    </row>
    <row r="5">
      <c r="A5" s="4" t="inlineStr">
        <is>
          <t>It generates master-data.json, which the comparison tool reads. Edit here, re-export, never edit the JSON by hand.</t>
        </is>
      </c>
    </row>
    <row r="6">
      <c r="A6" s="4" t="inlineStr"/>
    </row>
    <row r="7">
      <c r="A7" s="3" t="inlineStr">
        <is>
          <t>Every figure is colour-coded by confidence. All totals are Excel FORMULAS — never type over a blue cell.</t>
        </is>
      </c>
    </row>
    <row r="8">
      <c r="A8" s="4" t="inlineStr"/>
    </row>
    <row r="9">
      <c r="A9" s="5" t="inlineStr">
        <is>
          <t>Confidence legend</t>
        </is>
      </c>
    </row>
    <row r="10">
      <c r="A10" s="6" t="inlineStr">
        <is>
          <t xml:space="preserve">  </t>
        </is>
      </c>
      <c r="B10" s="7" t="inlineStr">
        <is>
          <t>✅ Confirmed</t>
        </is>
      </c>
      <c r="C10" s="4" t="inlineStr">
        <is>
          <t>official source</t>
        </is>
      </c>
    </row>
    <row r="11">
      <c r="A11" s="8" t="inlineStr">
        <is>
          <t xml:space="preserve">  </t>
        </is>
      </c>
      <c r="B11" s="9" t="inlineStr">
        <is>
          <t>🟡 Assumed</t>
        </is>
      </c>
      <c r="C11" s="4" t="inlineStr">
        <is>
          <t>estimate / placeholder — overwrite when real data lands</t>
        </is>
      </c>
    </row>
    <row r="12">
      <c r="A12" s="10" t="inlineStr">
        <is>
          <t xml:space="preserve">  </t>
        </is>
      </c>
      <c r="B12" s="11" t="inlineStr">
        <is>
          <t>⬜ Missing</t>
        </is>
      </c>
      <c r="C12" s="4" t="inlineStr">
        <is>
          <t>no data yet</t>
        </is>
      </c>
    </row>
    <row r="13">
      <c r="A13" s="12" t="inlineStr">
        <is>
          <t xml:space="preserve">  </t>
        </is>
      </c>
      <c r="B13" s="13" t="inlineStr">
        <is>
          <t>—  N/A</t>
        </is>
      </c>
      <c r="C13" s="4" t="inlineStr">
        <is>
          <t>not applicable for this zone</t>
        </is>
      </c>
    </row>
    <row r="14">
      <c r="A14" s="14" t="inlineStr">
        <is>
          <t xml:space="preserve">  </t>
        </is>
      </c>
      <c r="B14" s="15" t="inlineStr">
        <is>
          <t>🔵 Derived</t>
        </is>
      </c>
      <c r="C14" s="4" t="inlineStr">
        <is>
          <t>computed by Excel formula (BASE, ALL-IN, take-home)</t>
        </is>
      </c>
    </row>
    <row r="16">
      <c r="A16" s="5" t="inlineStr">
        <is>
          <t>Sheets</t>
        </is>
      </c>
    </row>
    <row r="17">
      <c r="A17" s="3" t="inlineStr">
        <is>
          <t>B2C – Pricing</t>
        </is>
      </c>
      <c r="C17" s="4" t="inlineStr">
        <is>
          <t>Component matrix per visa. BASE = Licence+Registration+Desk; ALL-IN = SUM of all components.</t>
        </is>
      </c>
    </row>
    <row r="18">
      <c r="A18" s="3" t="inlineStr">
        <is>
          <t>B2B – Commission</t>
        </is>
      </c>
      <c r="C18" s="4" t="inlineStr">
        <is>
          <t>Model, base, base amount, rate ladders. Take-home = entry one-time rate × base amount.</t>
        </is>
      </c>
    </row>
    <row r="19">
      <c r="A19" s="3" t="inlineStr">
        <is>
          <t>Multi-year &amp; Year-2</t>
        </is>
      </c>
      <c r="C19" s="4" t="inlineStr">
        <is>
          <t>Multi-year discounts, RAKEZ schedule, Year-2 cost (the flagship lever).</t>
        </is>
      </c>
    </row>
    <row r="20">
      <c r="A20" s="3" t="inlineStr">
        <is>
          <t>Sources</t>
        </is>
      </c>
      <c r="C20" s="4" t="inlineStr">
        <is>
          <t>Where each figure came from + confidence.</t>
        </is>
      </c>
    </row>
    <row r="21">
      <c r="A21" s="3" t="inlineStr">
        <is>
          <t>Assumptions &amp; Gaps</t>
        </is>
      </c>
      <c r="C21" s="4" t="inlineStr">
        <is>
          <t>Every placeholder to swap in, with owner.</t>
        </is>
      </c>
    </row>
    <row r="23">
      <c r="A23" s="16" t="inlineStr">
        <is>
          <t>Key insight: take-home = rate × base. A lower rate on a bigger base can beat a higher rate on a small one — Meydan 30%×12,500 = 3,750 beats RAKEZ 50%×6,010 = 3,005.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B2C — Pricing (AED, VAT-incl)</t>
        </is>
      </c>
    </row>
    <row r="2">
      <c r="A2" s="2" t="inlineStr">
        <is>
          <t>Components for one investor visa, Year 1</t>
        </is>
      </c>
    </row>
    <row r="4">
      <c r="A4" s="17" t="inlineStr">
        <is>
          <t>Component</t>
        </is>
      </c>
      <c r="B4" s="18" t="inlineStr">
        <is>
          <t>Meydan</t>
        </is>
      </c>
      <c r="C4" s="19" t="inlineStr">
        <is>
          <t>IFZA</t>
        </is>
      </c>
      <c r="D4" s="19" t="inlineStr">
        <is>
          <t>RAKEZ</t>
        </is>
      </c>
      <c r="E4" s="19" t="inlineStr">
        <is>
          <t>Ajman</t>
        </is>
      </c>
      <c r="F4" s="19" t="inlineStr">
        <is>
          <t>DWTC</t>
        </is>
      </c>
    </row>
    <row r="5">
      <c r="A5" s="20" t="inlineStr">
        <is>
          <t>Licence (0-visa, 3 activities)</t>
        </is>
      </c>
      <c r="B5" s="21" t="n">
        <v>12125</v>
      </c>
      <c r="C5" s="22" t="n">
        <v>12900</v>
      </c>
      <c r="D5" s="21" t="n">
        <v>6010</v>
      </c>
      <c r="E5" s="21" t="n">
        <v>4888</v>
      </c>
      <c r="F5" s="22" t="n">
        <v>12000</v>
      </c>
    </row>
    <row r="6">
      <c r="A6" s="20" t="inlineStr">
        <is>
          <t>Registration / admin</t>
        </is>
      </c>
      <c r="B6" s="23" t="inlineStr">
        <is>
          <t>incl</t>
        </is>
      </c>
      <c r="C6" s="23" t="inlineStr">
        <is>
          <t>incl</t>
        </is>
      </c>
      <c r="D6" s="23" t="inlineStr">
        <is>
          <t>incl</t>
        </is>
      </c>
      <c r="E6" s="23" t="inlineStr">
        <is>
          <t>incl</t>
        </is>
      </c>
      <c r="F6" s="22" t="n">
        <v>500</v>
      </c>
    </row>
    <row r="7">
      <c r="A7" s="20" t="inlineStr">
        <is>
          <t>Shared desk / co-working</t>
        </is>
      </c>
      <c r="B7" s="21" t="n">
        <v>375</v>
      </c>
      <c r="C7" s="24" t="inlineStr">
        <is>
          <t>incl</t>
        </is>
      </c>
      <c r="D7" s="23" t="inlineStr">
        <is>
          <t>incl</t>
        </is>
      </c>
      <c r="E7" s="23" t="inlineStr">
        <is>
          <t>incl</t>
        </is>
      </c>
      <c r="F7" s="25" t="inlineStr">
        <is>
          <t>incl</t>
        </is>
      </c>
    </row>
    <row r="8">
      <c r="A8" s="20" t="inlineStr">
        <is>
          <t>Establishment card</t>
        </is>
      </c>
      <c r="B8" s="21" t="n">
        <v>2000</v>
      </c>
      <c r="C8" s="21" t="n">
        <v>2000</v>
      </c>
      <c r="D8" s="23" t="inlineStr">
        <is>
          <t>incl</t>
        </is>
      </c>
      <c r="E8" s="23" t="inlineStr">
        <is>
          <t>incl</t>
        </is>
      </c>
      <c r="F8" s="22" t="n">
        <v>2300</v>
      </c>
    </row>
    <row r="9">
      <c r="A9" s="20" t="inlineStr">
        <is>
          <t>Visa allocation (per visa)</t>
        </is>
      </c>
      <c r="B9" s="21" t="n">
        <v>1850</v>
      </c>
      <c r="C9" s="21" t="n">
        <v>2000</v>
      </c>
      <c r="D9" s="23" t="inlineStr">
        <is>
          <t>incl</t>
        </is>
      </c>
      <c r="E9" s="23" t="inlineStr">
        <is>
          <t>incl</t>
        </is>
      </c>
      <c r="F9" s="22" t="n">
        <v>2000</v>
      </c>
    </row>
    <row r="10">
      <c r="A10" s="20" t="inlineStr">
        <is>
          <t>Residence visa – investor (per visa)</t>
        </is>
      </c>
      <c r="B10" s="21" t="n">
        <v>4000</v>
      </c>
      <c r="C10" s="21" t="n">
        <v>1000</v>
      </c>
      <c r="D10" s="23" t="inlineStr">
        <is>
          <t>incl</t>
        </is>
      </c>
      <c r="E10" s="23" t="inlineStr">
        <is>
          <t>incl</t>
        </is>
      </c>
      <c r="F10" s="22" t="n">
        <v>3020</v>
      </c>
    </row>
    <row r="11">
      <c r="A11" s="20" t="inlineStr">
        <is>
          <t>Medical (per visa)</t>
        </is>
      </c>
      <c r="B11" s="22" t="n">
        <v>2000</v>
      </c>
      <c r="C11" s="22" t="n">
        <v>700</v>
      </c>
      <c r="D11" s="23" t="inlineStr">
        <is>
          <t>incl</t>
        </is>
      </c>
      <c r="E11" s="23" t="inlineStr">
        <is>
          <t>incl</t>
        </is>
      </c>
      <c r="F11" s="25" t="inlineStr"/>
    </row>
    <row r="12">
      <c r="A12" s="20" t="inlineStr">
        <is>
          <t>Emirates ID (per visa)</t>
        </is>
      </c>
      <c r="B12" s="22" t="n">
        <v>750</v>
      </c>
      <c r="C12" s="22" t="n">
        <v>400</v>
      </c>
      <c r="D12" s="23" t="inlineStr">
        <is>
          <t>incl</t>
        </is>
      </c>
      <c r="E12" s="23" t="inlineStr">
        <is>
          <t>incl</t>
        </is>
      </c>
      <c r="F12" s="25" t="inlineStr"/>
    </row>
    <row r="13">
      <c r="A13" s="20" t="inlineStr">
        <is>
          <t>Status change (inside UAE)</t>
        </is>
      </c>
      <c r="B13" s="21" t="n">
        <v>1500</v>
      </c>
      <c r="C13" s="21" t="n">
        <v>1600</v>
      </c>
      <c r="D13" s="23" t="inlineStr">
        <is>
          <t>incl</t>
        </is>
      </c>
      <c r="E13" s="23" t="inlineStr">
        <is>
          <t>incl</t>
        </is>
      </c>
      <c r="F13" s="26" t="n">
        <v>0</v>
      </c>
    </row>
    <row r="14">
      <c r="A14" s="20" t="inlineStr">
        <is>
          <t>Visa bundle increment (bundled zones)</t>
        </is>
      </c>
      <c r="B14" s="27" t="inlineStr">
        <is>
          <t>—</t>
        </is>
      </c>
      <c r="C14" s="27" t="inlineStr">
        <is>
          <t>—</t>
        </is>
      </c>
      <c r="D14" s="21" t="n">
        <v>8000</v>
      </c>
      <c r="E14" s="21" t="n">
        <v>5912</v>
      </c>
      <c r="F14" s="27" t="inlineStr">
        <is>
          <t>—</t>
        </is>
      </c>
    </row>
    <row r="15">
      <c r="A15" s="28" t="inlineStr">
        <is>
          <t>BASE = Licence + Registration + Shared Desk</t>
        </is>
      </c>
      <c r="B15" s="29">
        <f>SUM(B5:B7)</f>
        <v/>
      </c>
      <c r="C15" s="29">
        <f>SUM(C5:C7)</f>
        <v/>
      </c>
      <c r="D15" s="29">
        <f>SUM(D5:D7)</f>
        <v/>
      </c>
      <c r="E15" s="29">
        <f>SUM(E5:E7)</f>
        <v/>
      </c>
      <c r="F15" s="29">
        <f>SUM(F5:F7)</f>
        <v/>
      </c>
    </row>
    <row r="16">
      <c r="A16" s="28" t="inlineStr">
        <is>
          <t>ALL-IN = 1 investor visa, Year 1</t>
        </is>
      </c>
      <c r="B16" s="29">
        <f>SUM(B5:B14)</f>
        <v/>
      </c>
      <c r="C16" s="29">
        <f>SUM(C5:C14)</f>
        <v/>
      </c>
      <c r="D16" s="29">
        <f>SUM(D5:D14)</f>
        <v/>
      </c>
      <c r="E16" s="29">
        <f>SUM(E5:E14)</f>
        <v/>
      </c>
      <c r="F16" s="29">
        <f>SUM(F5:F14)</f>
        <v/>
      </c>
    </row>
    <row r="18">
      <c r="A18" s="30" t="inlineStr">
        <is>
          <t>Notes:</t>
        </is>
      </c>
    </row>
    <row r="19">
      <c r="A19" s="31" t="inlineStr">
        <is>
          <t>BASE = Licence + Registration + Shared Desk (0 visa). ALL-IN = sum of all components for 1 investor visa, Year 1. 'incl' / '—' / blank cells contribute 0 to the sums. Meydan ALL-IN = 24,100 if the bundled Medical+EID Assistance (2,250) is taken instead of itemised Medical 2,000 + EID 750 (2,750).</t>
        </is>
      </c>
    </row>
    <row r="20"/>
    <row r="21"/>
  </sheetData>
  <mergeCells count="1">
    <mergeCell ref="A19:F2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7" customWidth="1" min="2" max="2"/>
    <col width="22" customWidth="1" min="3" max="3"/>
    <col width="12" customWidth="1" min="4" max="4"/>
    <col width="12" customWidth="1" min="5" max="5"/>
    <col width="46" customWidth="1" min="6" max="6"/>
  </cols>
  <sheetData>
    <row r="1">
      <c r="A1" s="1" t="inlineStr">
        <is>
          <t>B2B — Commission</t>
        </is>
      </c>
    </row>
    <row r="2">
      <c r="A2" s="2" t="inlineStr">
        <is>
          <t>Take-home = entry one-time rate × base amount</t>
        </is>
      </c>
    </row>
    <row r="4">
      <c r="A4" s="17" t="inlineStr">
        <is>
          <t>Item</t>
        </is>
      </c>
      <c r="B4" s="18" t="inlineStr">
        <is>
          <t>Meydan</t>
        </is>
      </c>
      <c r="C4" s="19" t="inlineStr">
        <is>
          <t>IFZA</t>
        </is>
      </c>
      <c r="D4" s="19" t="inlineStr">
        <is>
          <t>RAKEZ</t>
        </is>
      </c>
      <c r="E4" s="19" t="inlineStr">
        <is>
          <t>Ajman</t>
        </is>
      </c>
      <c r="F4" s="19" t="inlineStr">
        <is>
          <t>DWTC</t>
        </is>
      </c>
    </row>
    <row r="5">
      <c r="A5" s="20" t="inlineStr">
        <is>
          <t>Model</t>
        </is>
      </c>
      <c r="B5" s="32" t="inlineStr">
        <is>
          <t>5 tiers (quarterly); CP picks one-time OR recurring</t>
        </is>
      </c>
      <c r="C5" s="32" t="inlineStr">
        <is>
          <t>Plan A (%) or Plan B (one-time)</t>
        </is>
      </c>
      <c r="D5" s="32" t="inlineStr">
        <is>
          <t>Flat</t>
        </is>
      </c>
      <c r="E5" s="32" t="inlineStr">
        <is>
          <t>Tiered (yearly companies)</t>
        </is>
      </c>
      <c r="F5" s="32" t="inlineStr">
        <is>
          <t>Flat</t>
        </is>
      </c>
    </row>
    <row r="6">
      <c r="A6" s="20" t="inlineStr">
        <is>
          <t>Commission BASE (% applies to)</t>
        </is>
      </c>
      <c r="B6" s="33" t="inlineStr">
        <is>
          <t>Full package</t>
        </is>
      </c>
      <c r="C6" s="32" t="inlineStr">
        <is>
          <t>Standard licence price</t>
        </is>
      </c>
      <c r="D6" s="33" t="inlineStr">
        <is>
          <t>Licence only</t>
        </is>
      </c>
      <c r="E6" s="32" t="inlineStr">
        <is>
          <t>All-inclusive package</t>
        </is>
      </c>
      <c r="F6" s="33" t="inlineStr">
        <is>
          <t>Unknown</t>
        </is>
      </c>
    </row>
    <row r="7">
      <c r="A7" s="20" t="inlineStr">
        <is>
          <t>Base amount (1-visa, AED)</t>
        </is>
      </c>
      <c r="B7" s="22" t="n">
        <v>12500</v>
      </c>
      <c r="C7" s="21" t="n">
        <v>14900</v>
      </c>
      <c r="D7" s="22" t="n">
        <v>6010</v>
      </c>
      <c r="E7" s="21" t="n">
        <v>10800</v>
      </c>
      <c r="F7" s="22" t="n">
        <v>14000</v>
      </c>
    </row>
    <row r="8">
      <c r="A8" s="20" t="inlineStr">
        <is>
          <t>Renewal rate</t>
        </is>
      </c>
      <c r="B8" s="34" t="n">
        <v>0.4</v>
      </c>
      <c r="C8" s="27" t="inlineStr">
        <is>
          <t>—</t>
        </is>
      </c>
      <c r="D8" s="25" t="inlineStr"/>
      <c r="E8" s="34" t="n">
        <v>0.35</v>
      </c>
      <c r="F8" s="25" t="inlineStr"/>
    </row>
    <row r="9">
      <c r="A9" s="20" t="inlineStr">
        <is>
          <t>One-time — entry rate (tier rank 1)</t>
        </is>
      </c>
      <c r="B9" s="34" t="n">
        <v>0.3</v>
      </c>
      <c r="C9" s="34" t="n">
        <v>0.4</v>
      </c>
      <c r="D9" s="34" t="n">
        <v>0.5</v>
      </c>
      <c r="E9" s="34" t="n">
        <v>0.35</v>
      </c>
      <c r="F9" s="34" t="n">
        <v>0.2</v>
      </c>
    </row>
    <row r="10">
      <c r="A10" s="20" t="inlineStr">
        <is>
          <t>One-time — top rate (tier rank N)</t>
        </is>
      </c>
      <c r="B10" s="34" t="n">
        <v>0.5</v>
      </c>
      <c r="C10" s="34" t="n">
        <v>0.4</v>
      </c>
      <c r="D10" s="34" t="n">
        <v>0.5</v>
      </c>
      <c r="E10" s="34" t="n">
        <v>0.55</v>
      </c>
      <c r="F10" s="34" t="n">
        <v>0.2</v>
      </c>
    </row>
    <row r="11">
      <c r="A11" s="28" t="inlineStr">
        <is>
          <t>Take-home (entry, 1-visa, one-time) = rate × base</t>
        </is>
      </c>
      <c r="B11" s="29">
        <f>B9*B7</f>
        <v/>
      </c>
      <c r="C11" s="29">
        <f>C9*C7</f>
        <v/>
      </c>
      <c r="D11" s="29">
        <f>D9*D7</f>
        <v/>
      </c>
      <c r="E11" s="29">
        <f>E9*E7</f>
        <v/>
      </c>
      <c r="F11" s="29">
        <f>F9*F7</f>
        <v/>
      </c>
    </row>
    <row r="13">
      <c r="A13" s="35" t="inlineStr">
        <is>
          <t>Uniform commission tiers — entry → top (orange = ceiling)</t>
        </is>
      </c>
    </row>
    <row r="14">
      <c r="A14" s="36" t="inlineStr">
        <is>
          <t>Zone</t>
        </is>
      </c>
      <c r="B14" s="37" t="inlineStr">
        <is>
          <t>Rank</t>
        </is>
      </c>
      <c r="C14" s="36" t="inlineStr">
        <is>
          <t>Tier</t>
        </is>
      </c>
      <c r="D14" s="37" t="inlineStr">
        <is>
          <t>One-time</t>
        </is>
      </c>
      <c r="E14" s="37" t="inlineStr">
        <is>
          <t>Recurring</t>
        </is>
      </c>
      <c r="F14" s="36" t="inlineStr">
        <is>
          <t>Note</t>
        </is>
      </c>
    </row>
    <row r="15">
      <c r="A15" s="38" t="inlineStr">
        <is>
          <t>Meydan</t>
        </is>
      </c>
      <c r="B15" s="39" t="n">
        <v>1</v>
      </c>
      <c r="C15" s="40" t="inlineStr">
        <is>
          <t>Bronze · 0–20/qtr</t>
        </is>
      </c>
      <c r="D15" s="34" t="n">
        <v>0.3</v>
      </c>
      <c r="E15" s="34" t="n">
        <v>0.2</v>
      </c>
      <c r="F15" s="32" t="inlineStr"/>
    </row>
    <row r="16">
      <c r="A16" s="38" t="inlineStr">
        <is>
          <t>Meydan</t>
        </is>
      </c>
      <c r="B16" s="39" t="n">
        <v>2</v>
      </c>
      <c r="C16" s="40" t="inlineStr">
        <is>
          <t>Silver · 21–30/qtr</t>
        </is>
      </c>
      <c r="D16" s="34" t="n">
        <v>0.35</v>
      </c>
      <c r="E16" s="34" t="n">
        <v>0.25</v>
      </c>
      <c r="F16" s="32" t="inlineStr"/>
    </row>
    <row r="17">
      <c r="A17" s="38" t="inlineStr">
        <is>
          <t>Meydan</t>
        </is>
      </c>
      <c r="B17" s="39" t="n">
        <v>3</v>
      </c>
      <c r="C17" s="40" t="inlineStr">
        <is>
          <t>Gold · 31–75/qtr</t>
        </is>
      </c>
      <c r="D17" s="34" t="n">
        <v>0.4</v>
      </c>
      <c r="E17" s="34" t="n">
        <v>0.3</v>
      </c>
      <c r="F17" s="32" t="inlineStr"/>
    </row>
    <row r="18">
      <c r="A18" s="38" t="inlineStr">
        <is>
          <t>Meydan</t>
        </is>
      </c>
      <c r="B18" s="39" t="n">
        <v>4</v>
      </c>
      <c r="C18" s="40" t="inlineStr">
        <is>
          <t>Platinum · 76–120/qtr</t>
        </is>
      </c>
      <c r="D18" s="34" t="n">
        <v>0.4</v>
      </c>
      <c r="E18" s="34" t="n">
        <v>0.4</v>
      </c>
      <c r="F18" s="32" t="inlineStr"/>
    </row>
    <row r="19">
      <c r="A19" s="38" t="inlineStr">
        <is>
          <t>Meydan</t>
        </is>
      </c>
      <c r="B19" s="39" t="n">
        <v>5</v>
      </c>
      <c r="C19" s="40" t="inlineStr">
        <is>
          <t>Platinum+ · 121+/qtr</t>
        </is>
      </c>
      <c r="D19" s="41" t="n">
        <v>0.5</v>
      </c>
      <c r="E19" s="34" t="n">
        <v>0.5</v>
      </c>
      <c r="F19" s="32" t="inlineStr">
        <is>
          <t>50% new, 40% on renewal</t>
        </is>
      </c>
    </row>
    <row r="20">
      <c r="A20" s="38" t="inlineStr">
        <is>
          <t>IFZA</t>
        </is>
      </c>
      <c r="B20" s="39" t="n">
        <v>1</v>
      </c>
      <c r="C20" s="40" t="inlineStr">
        <is>
          <t>Flat (Plan A / Plan B)</t>
        </is>
      </c>
      <c r="D20" s="41" t="n">
        <v>0.4</v>
      </c>
      <c r="E20" s="42" t="n">
        <v>0.2</v>
      </c>
      <c r="F20" s="33" t="inlineStr">
        <is>
          <t>Plan B 40% one-time; Plan A recurring 20–25% (assumed)</t>
        </is>
      </c>
    </row>
    <row r="21">
      <c r="A21" s="38" t="inlineStr">
        <is>
          <t>RAKEZ</t>
        </is>
      </c>
      <c r="B21" s="39" t="n">
        <v>1</v>
      </c>
      <c r="C21" s="40" t="inlineStr">
        <is>
          <t>Flat</t>
        </is>
      </c>
      <c r="D21" s="41" t="n">
        <v>0.5</v>
      </c>
      <c r="E21" s="25" t="inlineStr"/>
      <c r="F21" s="32" t="inlineStr">
        <is>
          <t>Single source; recurring not disclosed</t>
        </is>
      </c>
    </row>
    <row r="22">
      <c r="A22" s="38" t="inlineStr">
        <is>
          <t>Ajman</t>
        </is>
      </c>
      <c r="B22" s="39" t="n">
        <v>1</v>
      </c>
      <c r="C22" s="40" t="inlineStr">
        <is>
          <t>≤10 cos/yr</t>
        </is>
      </c>
      <c r="D22" s="34" t="n">
        <v>0.35</v>
      </c>
      <c r="E22" s="34" t="n">
        <v>0.35</v>
      </c>
      <c r="F22" s="32" t="inlineStr"/>
    </row>
    <row r="23">
      <c r="A23" s="38" t="inlineStr">
        <is>
          <t>Ajman</t>
        </is>
      </c>
      <c r="B23" s="39" t="n">
        <v>2</v>
      </c>
      <c r="C23" s="40" t="inlineStr">
        <is>
          <t>≤20 cos/yr</t>
        </is>
      </c>
      <c r="D23" s="34" t="n">
        <v>0.4</v>
      </c>
      <c r="E23" s="34" t="n">
        <v>0.35</v>
      </c>
      <c r="F23" s="32" t="inlineStr"/>
    </row>
    <row r="24">
      <c r="A24" s="38" t="inlineStr">
        <is>
          <t>Ajman</t>
        </is>
      </c>
      <c r="B24" s="39" t="n">
        <v>3</v>
      </c>
      <c r="C24" s="40" t="inlineStr">
        <is>
          <t>≤30 cos/yr</t>
        </is>
      </c>
      <c r="D24" s="34" t="n">
        <v>0.45</v>
      </c>
      <c r="E24" s="34" t="n">
        <v>0.35</v>
      </c>
      <c r="F24" s="32" t="inlineStr"/>
    </row>
    <row r="25">
      <c r="A25" s="38" t="inlineStr">
        <is>
          <t>Ajman</t>
        </is>
      </c>
      <c r="B25" s="39" t="n">
        <v>4</v>
      </c>
      <c r="C25" s="40" t="inlineStr">
        <is>
          <t>≤350 cos/yr</t>
        </is>
      </c>
      <c r="D25" s="34" t="n">
        <v>0.5</v>
      </c>
      <c r="E25" s="34" t="n">
        <v>0.35</v>
      </c>
      <c r="F25" s="32" t="inlineStr"/>
    </row>
    <row r="26">
      <c r="A26" s="38" t="inlineStr">
        <is>
          <t>Ajman</t>
        </is>
      </c>
      <c r="B26" s="39" t="n">
        <v>5</v>
      </c>
      <c r="C26" s="40" t="inlineStr">
        <is>
          <t>350+ cos/yr</t>
        </is>
      </c>
      <c r="D26" s="41" t="n">
        <v>0.55</v>
      </c>
      <c r="E26" s="34" t="n">
        <v>0.35</v>
      </c>
      <c r="F26" s="32" t="inlineStr">
        <is>
          <t>capped 52% on a 1-visa deal; recurring/renewal flat 35%</t>
        </is>
      </c>
    </row>
    <row r="27">
      <c r="A27" s="38" t="inlineStr">
        <is>
          <t>DWTC</t>
        </is>
      </c>
      <c r="B27" s="39" t="n">
        <v>1</v>
      </c>
      <c r="C27" s="40" t="inlineStr">
        <is>
          <t>Flat</t>
        </is>
      </c>
      <c r="D27" s="41" t="n">
        <v>0.2</v>
      </c>
      <c r="E27" s="25" t="inlineStr"/>
      <c r="F27" s="32" t="inlineStr">
        <is>
          <t>Recurring not disclosed</t>
        </is>
      </c>
    </row>
    <row r="29">
      <c r="A29" s="43" t="inlineStr">
        <is>
          <t>Key: take-home = rate × base. A lower rate on a bigger base can beat a higher rate on a small one — Meydan 30%×12,500 = 3,750 beats RAKEZ 50%×6,010 = 3,005.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Multi-year &amp; Year-2</t>
        </is>
      </c>
    </row>
    <row r="2">
      <c r="A2" s="2" t="inlineStr">
        <is>
          <t>Year-2 is the flagship lever</t>
        </is>
      </c>
    </row>
    <row r="4">
      <c r="A4" s="35" t="inlineStr">
        <is>
          <t>Multi-year discount</t>
        </is>
      </c>
    </row>
    <row r="5">
      <c r="A5" s="17" t="inlineStr">
        <is>
          <t>Metric</t>
        </is>
      </c>
      <c r="B5" s="18" t="inlineStr">
        <is>
          <t>Meydan</t>
        </is>
      </c>
      <c r="C5" s="19" t="inlineStr">
        <is>
          <t>IFZA</t>
        </is>
      </c>
      <c r="D5" s="19" t="inlineStr">
        <is>
          <t>RAKEZ</t>
        </is>
      </c>
      <c r="E5" s="19" t="inlineStr">
        <is>
          <t>Ajman</t>
        </is>
      </c>
      <c r="F5" s="19" t="inlineStr">
        <is>
          <t>DWTC</t>
        </is>
      </c>
    </row>
    <row r="6">
      <c r="A6" s="20" t="inlineStr">
        <is>
          <t>Discount schedule</t>
        </is>
      </c>
      <c r="B6" s="33" t="inlineStr">
        <is>
          <t>2yr 10% / 3yr+ 15%</t>
        </is>
      </c>
      <c r="C6" s="32" t="inlineStr">
        <is>
          <t>2yr 15% / 3yr 20% / 5yr 30%</t>
        </is>
      </c>
      <c r="D6" s="32" t="inlineStr">
        <is>
          <t>Explicit non-linear table (see below)</t>
        </is>
      </c>
      <c r="E6" s="32" t="inlineStr">
        <is>
          <t>Annual model — no multi-year</t>
        </is>
      </c>
      <c r="F6" s="25" t="inlineStr"/>
    </row>
    <row r="8">
      <c r="A8" s="44" t="inlineStr">
        <is>
          <t>RAKEZ Biz One — cumulative price (AED)</t>
        </is>
      </c>
    </row>
    <row r="9">
      <c r="A9" s="37" t="inlineStr">
        <is>
          <t>1y</t>
        </is>
      </c>
      <c r="B9" s="37" t="inlineStr">
        <is>
          <t>2y</t>
        </is>
      </c>
      <c r="C9" s="37" t="inlineStr">
        <is>
          <t>3y</t>
        </is>
      </c>
      <c r="D9" s="37" t="inlineStr">
        <is>
          <t>4y</t>
        </is>
      </c>
      <c r="E9" s="37" t="inlineStr">
        <is>
          <t>5y</t>
        </is>
      </c>
      <c r="F9" s="37" t="inlineStr">
        <is>
          <t>6y</t>
        </is>
      </c>
      <c r="G9" s="37" t="inlineStr">
        <is>
          <t>10y</t>
        </is>
      </c>
    </row>
    <row r="10">
      <c r="A10" s="21" t="n">
        <v>14010</v>
      </c>
      <c r="B10" s="21" t="n">
        <v>26620</v>
      </c>
      <c r="C10" s="21" t="n">
        <v>37830</v>
      </c>
      <c r="D10" s="21" t="n">
        <v>50440</v>
      </c>
      <c r="E10" s="21" t="n">
        <v>59560</v>
      </c>
      <c r="F10" s="21" t="n">
        <v>67260</v>
      </c>
      <c r="G10" s="21" t="n">
        <v>105100</v>
      </c>
    </row>
    <row r="12">
      <c r="A12" s="35" t="inlineStr">
        <is>
          <t>Year-2 cost (1-visa, AED)</t>
        </is>
      </c>
    </row>
    <row r="13">
      <c r="A13" s="17" t="inlineStr">
        <is>
          <t>Metric</t>
        </is>
      </c>
      <c r="B13" s="18" t="inlineStr">
        <is>
          <t>Meydan</t>
        </is>
      </c>
      <c r="C13" s="19" t="inlineStr">
        <is>
          <t>IFZA</t>
        </is>
      </c>
      <c r="D13" s="19" t="inlineStr">
        <is>
          <t>RAKEZ</t>
        </is>
      </c>
      <c r="E13" s="19" t="inlineStr">
        <is>
          <t>Ajman</t>
        </is>
      </c>
      <c r="F13" s="19" t="inlineStr">
        <is>
          <t>DWTC</t>
        </is>
      </c>
    </row>
    <row r="14">
      <c r="A14" s="20" t="inlineStr">
        <is>
          <t>Year-2 cost</t>
        </is>
      </c>
      <c r="B14" s="22" t="n">
        <v>14700</v>
      </c>
      <c r="C14" s="22" t="n">
        <v>17100</v>
      </c>
      <c r="D14" s="21" t="n">
        <v>14010</v>
      </c>
      <c r="E14" s="21" t="n">
        <v>9900</v>
      </c>
      <c r="F14" s="25" t="inlineStr"/>
    </row>
    <row r="16">
      <c r="A16" s="45" t="inlineStr">
        <is>
          <t>KEY:</t>
        </is>
      </c>
    </row>
    <row r="17">
      <c r="A17" s="46" t="inlineStr">
        <is>
          <t>Year-2 powers the flagship inference: 'Year-1 Meydan costly, Year-2 Meydan cheaper.' It rests on the assumption that the residence visa (valid ~2 yrs) is NOT re-charged in Year 2. CONFIRM with Jai — this is the lever.</t>
        </is>
      </c>
    </row>
    <row r="18"/>
    <row r="19"/>
    <row r="20"/>
  </sheetData>
  <mergeCells count="1">
    <mergeCell ref="A17:F20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8" customWidth="1" min="3" max="3"/>
    <col width="16" customWidth="1" min="4" max="4"/>
    <col width="40" customWidth="1" min="5" max="5"/>
  </cols>
  <sheetData>
    <row r="1">
      <c r="A1" s="1" t="inlineStr">
        <is>
          <t>Sources</t>
        </is>
      </c>
    </row>
    <row r="2">
      <c r="A2" s="2" t="inlineStr">
        <is>
          <t>Traceability — every figure tied to a source + confidence</t>
        </is>
      </c>
    </row>
    <row r="4">
      <c r="A4" s="19" t="inlineStr">
        <is>
          <t>Area</t>
        </is>
      </c>
      <c r="B4" s="19" t="inlineStr">
        <is>
          <t>Zone</t>
        </is>
      </c>
      <c r="C4" s="19" t="inlineStr">
        <is>
          <t>Source</t>
        </is>
      </c>
      <c r="D4" s="19" t="inlineStr">
        <is>
          <t>Confidence</t>
        </is>
      </c>
      <c r="E4" s="19" t="inlineStr">
        <is>
          <t>Note</t>
        </is>
      </c>
    </row>
    <row r="5">
      <c r="A5" s="40" t="inlineStr">
        <is>
          <t>B2C licence/visa fees</t>
        </is>
      </c>
      <c r="B5" s="40" t="inlineStr">
        <is>
          <t>Meydan</t>
        </is>
      </c>
      <c r="C5" s="40" t="inlineStr">
        <is>
          <t>Meydan official quote</t>
        </is>
      </c>
      <c r="D5" s="47" t="inlineStr">
        <is>
          <t>✅ Confirmed</t>
        </is>
      </c>
      <c r="E5" s="40" t="inlineStr">
        <is>
          <t>Baseline zone</t>
        </is>
      </c>
    </row>
    <row r="6">
      <c r="A6" s="40" t="inlineStr">
        <is>
          <t>B2C medical/EID</t>
        </is>
      </c>
      <c r="B6" s="40" t="inlineStr">
        <is>
          <t>Meydan</t>
        </is>
      </c>
      <c r="C6" s="40" t="inlineStr">
        <is>
          <t>Internal estimate</t>
        </is>
      </c>
      <c r="D6" s="48" t="inlineStr">
        <is>
          <t>🟡 Assumed</t>
        </is>
      </c>
      <c r="E6" s="40" t="inlineStr">
        <is>
          <t>Confirm real cost</t>
        </is>
      </c>
    </row>
    <row r="7">
      <c r="A7" s="40" t="inlineStr">
        <is>
          <t>B2C licence</t>
        </is>
      </c>
      <c r="B7" s="40" t="inlineStr">
        <is>
          <t>IFZA</t>
        </is>
      </c>
      <c r="C7" s="40" t="inlineStr">
        <is>
          <t>IFZA quote / contact</t>
        </is>
      </c>
      <c r="D7" s="48" t="inlineStr">
        <is>
          <t>🟡 Assumed</t>
        </is>
      </c>
      <c r="E7" s="40" t="inlineStr">
        <is>
          <t>11,900 vs 12,900 open</t>
        </is>
      </c>
    </row>
    <row r="8">
      <c r="A8" s="40" t="inlineStr">
        <is>
          <t>B2C medical/EID</t>
        </is>
      </c>
      <c r="B8" s="40" t="inlineStr">
        <is>
          <t>IFZA</t>
        </is>
      </c>
      <c r="C8" s="40" t="inlineStr">
        <is>
          <t>Internal estimate</t>
        </is>
      </c>
      <c r="D8" s="48" t="inlineStr">
        <is>
          <t>🟡 Assumed</t>
        </is>
      </c>
      <c r="E8" s="40" t="inlineStr">
        <is>
          <t>Confirm real cost</t>
        </is>
      </c>
    </row>
    <row r="9">
      <c r="A9" s="40" t="inlineStr">
        <is>
          <t>B2C all fees</t>
        </is>
      </c>
      <c r="B9" s="40" t="inlineStr">
        <is>
          <t>RAKEZ</t>
        </is>
      </c>
      <c r="C9" s="40" t="inlineStr">
        <is>
          <t>RAKEZ official (Biz One)</t>
        </is>
      </c>
      <c r="D9" s="47" t="inlineStr">
        <is>
          <t>✅ Confirmed</t>
        </is>
      </c>
      <c r="E9" s="40" t="inlineStr">
        <is>
          <t>Bundled visa increment</t>
        </is>
      </c>
    </row>
    <row r="10">
      <c r="A10" s="40" t="inlineStr">
        <is>
          <t>B2C all fees</t>
        </is>
      </c>
      <c r="B10" s="40" t="inlineStr">
        <is>
          <t>Ajman</t>
        </is>
      </c>
      <c r="C10" s="40" t="inlineStr">
        <is>
          <t>Ajman official</t>
        </is>
      </c>
      <c r="D10" s="47" t="inlineStr">
        <is>
          <t>✅ Confirmed</t>
        </is>
      </c>
      <c r="E10" s="40" t="inlineStr">
        <is>
          <t>Bundled visa increment</t>
        </is>
      </c>
    </row>
    <row r="11">
      <c r="A11" s="40" t="inlineStr">
        <is>
          <t>B2C fees</t>
        </is>
      </c>
      <c r="B11" s="40" t="inlineStr">
        <is>
          <t>DWTC</t>
        </is>
      </c>
      <c r="C11" s="40" t="inlineStr">
        <is>
          <t>Partial / estimate</t>
        </is>
      </c>
      <c r="D11" s="48" t="inlineStr">
        <is>
          <t>🟡 Assumed</t>
        </is>
      </c>
      <c r="E11" s="40" t="inlineStr">
        <is>
          <t>Desk/medical/EID/status missing</t>
        </is>
      </c>
    </row>
    <row r="12">
      <c r="A12" s="40" t="inlineStr">
        <is>
          <t>B2B commission base</t>
        </is>
      </c>
      <c r="B12" s="40" t="inlineStr">
        <is>
          <t>Meydan</t>
        </is>
      </c>
      <c r="C12" s="40" t="inlineStr">
        <is>
          <t>To confirm (Akshay)</t>
        </is>
      </c>
      <c r="D12" s="48" t="inlineStr">
        <is>
          <t>🟡 Assumed</t>
        </is>
      </c>
      <c r="E12" s="40" t="inlineStr">
        <is>
          <t>Full package assumed</t>
        </is>
      </c>
    </row>
    <row r="13">
      <c r="A13" s="40" t="inlineStr">
        <is>
          <t>B2B commission</t>
        </is>
      </c>
      <c r="B13" s="40" t="inlineStr">
        <is>
          <t>IFZA</t>
        </is>
      </c>
      <c r="C13" s="40" t="inlineStr">
        <is>
          <t>IFZA partner terms</t>
        </is>
      </c>
      <c r="D13" s="47" t="inlineStr">
        <is>
          <t>✅ Confirmed</t>
        </is>
      </c>
      <c r="E13" s="40" t="inlineStr">
        <is>
          <t>Plan A/B</t>
        </is>
      </c>
    </row>
    <row r="14">
      <c r="A14" s="40" t="inlineStr">
        <is>
          <t>B2B commission base</t>
        </is>
      </c>
      <c r="B14" s="40" t="inlineStr">
        <is>
          <t>RAKEZ</t>
        </is>
      </c>
      <c r="C14" s="40" t="inlineStr">
        <is>
          <t>To confirm (Akshay)</t>
        </is>
      </c>
      <c r="D14" s="48" t="inlineStr">
        <is>
          <t>🟡 Assumed</t>
        </is>
      </c>
      <c r="E14" s="40" t="inlineStr">
        <is>
          <t>Licence-only assumed</t>
        </is>
      </c>
    </row>
    <row r="15">
      <c r="A15" s="40" t="inlineStr">
        <is>
          <t>B2B commission</t>
        </is>
      </c>
      <c r="B15" s="40" t="inlineStr">
        <is>
          <t>Ajman</t>
        </is>
      </c>
      <c r="C15" s="40" t="inlineStr">
        <is>
          <t>Ajman partner terms</t>
        </is>
      </c>
      <c r="D15" s="47" t="inlineStr">
        <is>
          <t>✅ Confirmed</t>
        </is>
      </c>
      <c r="E15" s="40" t="inlineStr">
        <is>
          <t>Tiered yearly</t>
        </is>
      </c>
    </row>
    <row r="16">
      <c r="A16" s="40" t="inlineStr">
        <is>
          <t>B2B commission base</t>
        </is>
      </c>
      <c r="B16" s="40" t="inlineStr">
        <is>
          <t>DWTC</t>
        </is>
      </c>
      <c r="C16" s="40" t="inlineStr">
        <is>
          <t>To confirm (Akshay)</t>
        </is>
      </c>
      <c r="D16" s="48" t="inlineStr">
        <is>
          <t>🟡 Assumed</t>
        </is>
      </c>
      <c r="E16" s="40" t="inlineStr">
        <is>
          <t>Base unknown</t>
        </is>
      </c>
    </row>
    <row r="17">
      <c r="A17" s="40" t="inlineStr">
        <is>
          <t>Multi-year</t>
        </is>
      </c>
      <c r="B17" s="40" t="inlineStr">
        <is>
          <t>RAKEZ</t>
        </is>
      </c>
      <c r="C17" s="40" t="inlineStr">
        <is>
          <t>RAKEZ Biz One schedule</t>
        </is>
      </c>
      <c r="D17" s="47" t="inlineStr">
        <is>
          <t>✅ Confirmed</t>
        </is>
      </c>
      <c r="E17" s="40" t="inlineStr">
        <is>
          <t>Explicit table</t>
        </is>
      </c>
    </row>
    <row r="18">
      <c r="A18" s="40" t="inlineStr">
        <is>
          <t>Year-2 visa-recharge</t>
        </is>
      </c>
      <c r="B18" s="40" t="inlineStr">
        <is>
          <t>All</t>
        </is>
      </c>
      <c r="C18" s="40" t="inlineStr">
        <is>
          <t>To confirm (Jai)</t>
        </is>
      </c>
      <c r="D18" s="48" t="inlineStr">
        <is>
          <t>🟡 Assumed</t>
        </is>
      </c>
      <c r="E18" s="40" t="inlineStr">
        <is>
          <t>Flagship lever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0" customWidth="1" min="4" max="4"/>
    <col width="44" customWidth="1" min="5" max="5"/>
  </cols>
  <sheetData>
    <row r="1">
      <c r="A1" s="1" t="inlineStr">
        <is>
          <t>Assumptions &amp; Gaps</t>
        </is>
      </c>
    </row>
    <row r="2">
      <c r="A2" s="2" t="inlineStr">
        <is>
          <t>Placeholders to swap in — overwrite without touching the tool</t>
        </is>
      </c>
    </row>
    <row r="4">
      <c r="A4" s="19" t="inlineStr">
        <is>
          <t>Item</t>
        </is>
      </c>
      <c r="B4" s="19" t="inlineStr">
        <is>
          <t>Current placeholder</t>
        </is>
      </c>
      <c r="C4" s="19" t="inlineStr">
        <is>
          <t>Confidence</t>
        </is>
      </c>
      <c r="D4" s="19" t="inlineStr">
        <is>
          <t>Owner</t>
        </is>
      </c>
      <c r="E4" s="19" t="inlineStr">
        <is>
          <t>Action to confirm</t>
        </is>
      </c>
    </row>
    <row r="5">
      <c r="A5" s="49" t="inlineStr">
        <is>
          <t>Commission bases (Meydan, RAKEZ, DWTC)</t>
        </is>
      </c>
      <c r="B5" s="50" t="inlineStr">
        <is>
          <t>Full package / Licence only / Unknown</t>
        </is>
      </c>
      <c r="C5" s="51" t="inlineStr">
        <is>
          <t>🟡 Assumed</t>
        </is>
      </c>
      <c r="D5" s="49" t="inlineStr">
        <is>
          <t>Akshay</t>
        </is>
      </c>
      <c r="E5" s="50" t="inlineStr">
        <is>
          <t>Get the % base each zone applies commission to</t>
        </is>
      </c>
    </row>
    <row r="6">
      <c r="A6" s="49" t="inlineStr">
        <is>
          <t>Multi-year (Meydan, DWTC)</t>
        </is>
      </c>
      <c r="B6" s="50" t="inlineStr">
        <is>
          <t>Meydan 10/15% est; DWTC missing</t>
        </is>
      </c>
      <c r="C6" s="51" t="inlineStr">
        <is>
          <t>🟡 Assumed</t>
        </is>
      </c>
      <c r="D6" s="49" t="inlineStr">
        <is>
          <t>Akshay</t>
        </is>
      </c>
      <c r="E6" s="50" t="inlineStr">
        <is>
          <t>Get real multi-year discount schedules</t>
        </is>
      </c>
    </row>
    <row r="7">
      <c r="A7" s="49" t="inlineStr">
        <is>
          <t>RAKEZ one-time vs recurring</t>
        </is>
      </c>
      <c r="B7" s="50" t="inlineStr">
        <is>
          <t>Recurring missing</t>
        </is>
      </c>
      <c r="C7" s="52" t="inlineStr">
        <is>
          <t>⬜ Missing</t>
        </is>
      </c>
      <c r="D7" s="49" t="inlineStr">
        <is>
          <t>Akshay</t>
        </is>
      </c>
      <c r="E7" s="50" t="inlineStr">
        <is>
          <t>Get RAKEZ recurring commission</t>
        </is>
      </c>
    </row>
    <row r="8">
      <c r="A8" s="49" t="inlineStr">
        <is>
          <t>IFZA 20-vs-25% &amp; 11,900-vs-12,900</t>
        </is>
      </c>
      <c r="B8" s="50" t="inlineStr">
        <is>
          <t>Plan A 20%; licence 12,900</t>
        </is>
      </c>
      <c r="C8" s="51" t="inlineStr">
        <is>
          <t>🟡 Assumed</t>
        </is>
      </c>
      <c r="D8" s="49" t="inlineStr">
        <is>
          <t>Akshay</t>
        </is>
      </c>
      <c r="E8" s="50" t="inlineStr">
        <is>
          <t>Resolve both IFZA ranges</t>
        </is>
      </c>
    </row>
    <row r="9">
      <c r="A9" s="49" t="inlineStr">
        <is>
          <t>Meydan &amp; IFZA medical/EID real cost</t>
        </is>
      </c>
      <c r="B9" s="50" t="inlineStr">
        <is>
          <t>Meydan 2,000/750; IFZA 700/400 est</t>
        </is>
      </c>
      <c r="C9" s="51" t="inlineStr">
        <is>
          <t>🟡 Assumed</t>
        </is>
      </c>
      <c r="D9" s="49" t="inlineStr">
        <is>
          <t>Akshay</t>
        </is>
      </c>
      <c r="E9" s="50" t="inlineStr">
        <is>
          <t>Get actual medical + Emirates ID costs</t>
        </is>
      </c>
    </row>
    <row r="10">
      <c r="A10" s="49" t="inlineStr">
        <is>
          <t>DWTC desk/medical/EID/status/renewal</t>
        </is>
      </c>
      <c r="B10" s="50" t="inlineStr">
        <is>
          <t>Mostly missing</t>
        </is>
      </c>
      <c r="C10" s="52" t="inlineStr">
        <is>
          <t>⬜ Missing</t>
        </is>
      </c>
      <c r="D10" s="49" t="inlineStr">
        <is>
          <t>Akshay</t>
        </is>
      </c>
      <c r="E10" s="50" t="inlineStr">
        <is>
          <t>Get full DWTC component breakdown</t>
        </is>
      </c>
    </row>
    <row r="11">
      <c r="A11" s="49" t="inlineStr">
        <is>
          <t>Live offers (all zones)</t>
        </is>
      </c>
      <c r="B11" s="50" t="inlineStr">
        <is>
          <t>None loaded</t>
        </is>
      </c>
      <c r="C11" s="52" t="inlineStr">
        <is>
          <t>⬜ Missing</t>
        </is>
      </c>
      <c r="D11" s="49" t="inlineStr">
        <is>
          <t>Akshay</t>
        </is>
      </c>
      <c r="E11" s="50" t="inlineStr">
        <is>
          <t>Get current promotional offers</t>
        </is>
      </c>
    </row>
    <row r="12">
      <c r="A12" s="49" t="inlineStr">
        <is>
          <t>Year-2 visa-recharge logic</t>
        </is>
      </c>
      <c r="B12" s="50" t="inlineStr">
        <is>
          <t>Assumes visa not re-charged Y2</t>
        </is>
      </c>
      <c r="C12" s="51" t="inlineStr">
        <is>
          <t>🟡 Assumed</t>
        </is>
      </c>
      <c r="D12" s="49" t="inlineStr">
        <is>
          <t>Jai</t>
        </is>
      </c>
      <c r="E12" s="50" t="inlineStr">
        <is>
          <t>Confirm visa validity / Year-2 recharge — THE LEVER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2026-06-04T12:03:40Z</dcterms:created>
  <dcterms:modified xmlns:dcterms="http://purl.org/dc/terms/" xmlns:xsi="http://www.w3.org/2001/XMLSchema-instance" xsi:type="dcterms:W3CDTF">2026-06-04T12:03:40Z</dcterms:modified>
</cp:coreProperties>
</file>